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 N°1, Rev-0" sheetId="1" state="visible" r:id="rId1"/>
  </sheets>
  <definedNames>
    <definedName name="_xlnm.Print_Area" localSheetId="0">'EP N°1, Rev-0'!$A$1:$Q$52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-yyyy"/>
    <numFmt numFmtId="166" formatCode="0.0%"/>
  </numFmts>
  <fonts count="11">
    <font>
      <name val="Calibri"/>
      <family val="2"/>
      <color theme="1"/>
      <sz val="11"/>
      <scheme val="minor"/>
    </font>
    <font>
      <name val="Arial"/>
      <charset val="1"/>
      <b val="1"/>
      <sz val="10"/>
    </font>
    <font>
      <name val="Calibri"/>
      <charset val="1"/>
      <family val="2"/>
      <color theme="1"/>
      <sz val="11"/>
    </font>
    <font>
      <name val="Arial"/>
      <charset val="1"/>
      <b val="1"/>
      <sz val="11"/>
    </font>
    <font>
      <name val="Arial"/>
      <charset val="1"/>
      <b val="1"/>
      <sz val="9"/>
    </font>
    <font>
      <name val="Arial"/>
      <charset val="1"/>
      <b val="1"/>
      <sz val="8"/>
    </font>
    <font>
      <name val="Arial"/>
      <charset val="1"/>
      <sz val="8"/>
    </font>
    <font>
      <name val="Arial"/>
      <charset val="1"/>
      <color rgb="FF0000FF"/>
      <sz val="8"/>
    </font>
    <font>
      <name val="Arial"/>
      <charset val="1"/>
      <sz val="10"/>
    </font>
    <font>
      <name val="Arial"/>
      <charset val="1"/>
      <sz val="9"/>
    </font>
    <font>
      <name val="Arial"/>
      <charset val="1"/>
      <i val="1"/>
      <sz val="8"/>
    </font>
  </fonts>
  <fills count="2">
    <fill>
      <patternFill/>
    </fill>
    <fill>
      <patternFill patternType="gray125"/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1" applyAlignment="1" pivotButton="0" quotePrefix="0" xfId="0">
      <alignment horizontal="right" vertical="center" wrapText="1"/>
    </xf>
    <xf numFmtId="0" fontId="0" fillId="0" borderId="2" pivotButton="0" quotePrefix="0" xfId="0"/>
    <xf numFmtId="165" fontId="1" fillId="0" borderId="3" applyAlignment="1" pivotButton="0" quotePrefix="0" xfId="0">
      <alignment horizontal="center" vertical="center" wrapText="1"/>
    </xf>
    <xf numFmtId="0" fontId="2" fillId="0" borderId="4" pivotButton="0" quotePrefix="0" xfId="0"/>
    <xf numFmtId="0" fontId="2" fillId="0" borderId="5" pivotButton="0" quotePrefix="0" xfId="0"/>
    <xf numFmtId="0" fontId="1" fillId="0" borderId="5" applyAlignment="1" pivotButton="0" quotePrefix="0" xfId="0">
      <alignment horizontal="right" vertical="center" wrapText="1"/>
    </xf>
    <xf numFmtId="3" fontId="1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6" pivotButton="0" quotePrefix="0" xfId="0"/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left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" fillId="0" borderId="17" applyAlignment="1" pivotButton="0" quotePrefix="0" xfId="0">
      <alignment horizontal="center" vertical="center" wrapText="1"/>
    </xf>
    <xf numFmtId="0" fontId="2" fillId="0" borderId="18" pivotButton="0" quotePrefix="0" xfId="0"/>
    <xf numFmtId="0" fontId="0" fillId="0" borderId="19" pivotButton="0" quotePrefix="0" xfId="0"/>
    <xf numFmtId="0" fontId="5" fillId="0" borderId="19" applyAlignment="1" pivotButton="0" quotePrefix="0" xfId="0">
      <alignment horizontal="center" vertical="center" wrapText="1"/>
    </xf>
    <xf numFmtId="0" fontId="0" fillId="0" borderId="20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left" vertical="center" wrapText="1"/>
    </xf>
    <xf numFmtId="0" fontId="2" fillId="0" borderId="19" pivotButton="0" quotePrefix="0" xfId="0"/>
    <xf numFmtId="0" fontId="2" fillId="0" borderId="20" pivotButton="0" quotePrefix="0" xfId="0"/>
    <xf numFmtId="0" fontId="6" fillId="0" borderId="24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left" vertical="center" wrapText="1"/>
    </xf>
    <xf numFmtId="0" fontId="6" fillId="0" borderId="25" applyAlignment="1" pivotButton="0" quotePrefix="0" xfId="0">
      <alignment horizontal="center" vertical="center" wrapText="1"/>
    </xf>
    <xf numFmtId="3" fontId="6" fillId="0" borderId="25" applyAlignment="1" pivotButton="0" quotePrefix="0" xfId="0">
      <alignment horizontal="center" vertical="center" wrapText="1"/>
    </xf>
    <xf numFmtId="3" fontId="7" fillId="0" borderId="25" applyAlignment="1" pivotButton="0" quotePrefix="0" xfId="0">
      <alignment horizontal="center" vertical="center" wrapText="1"/>
    </xf>
    <xf numFmtId="166" fontId="6" fillId="0" borderId="25" applyAlignment="1" pivotButton="0" quotePrefix="0" xfId="0">
      <alignment horizontal="center" vertical="center" wrapText="1"/>
    </xf>
    <xf numFmtId="3" fontId="7" fillId="0" borderId="25" pivotButton="0" quotePrefix="0" xfId="0"/>
    <xf numFmtId="3" fontId="6" fillId="0" borderId="26" applyAlignment="1" pivotButton="0" quotePrefix="0" xfId="0">
      <alignment horizontal="center" vertical="center" wrapText="1"/>
    </xf>
    <xf numFmtId="4" fontId="6" fillId="0" borderId="25" applyAlignment="1" pivotButton="0" quotePrefix="0" xfId="0">
      <alignment horizontal="center" vertical="center" wrapText="1"/>
    </xf>
    <xf numFmtId="4" fontId="7" fillId="0" borderId="25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0" borderId="27" applyAlignment="1" pivotButton="0" quotePrefix="0" xfId="0">
      <alignment horizontal="center" vertical="center" wrapText="1"/>
    </xf>
    <xf numFmtId="3" fontId="5" fillId="0" borderId="28" applyAlignment="1" pivotButton="0" quotePrefix="0" xfId="0">
      <alignment horizontal="center" vertical="center" wrapText="1"/>
    </xf>
    <xf numFmtId="166" fontId="5" fillId="0" borderId="29" applyAlignment="1" pivotButton="0" quotePrefix="0" xfId="0">
      <alignment horizontal="center" vertical="center" wrapText="1"/>
    </xf>
    <xf numFmtId="3" fontId="5" fillId="0" borderId="27" applyAlignment="1" pivotButton="0" quotePrefix="0" xfId="0">
      <alignment horizontal="center" vertical="center" wrapText="1"/>
    </xf>
    <xf numFmtId="3" fontId="5" fillId="0" borderId="29" applyAlignment="1" pivotButton="0" quotePrefix="0" xfId="0">
      <alignment horizontal="center" vertical="center" wrapText="1"/>
    </xf>
    <xf numFmtId="0" fontId="6" fillId="0" borderId="2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2" fillId="0" borderId="1" pivotButton="0" quotePrefix="0" xfId="0"/>
    <xf numFmtId="0" fontId="5" fillId="0" borderId="1" applyAlignment="1" pivotButton="0" quotePrefix="0" xfId="0">
      <alignment horizontal="right" vertical="center" wrapText="1"/>
    </xf>
    <xf numFmtId="3" fontId="5" fillId="0" borderId="3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3" fontId="6" fillId="0" borderId="3" applyAlignment="1" pivotButton="0" quotePrefix="0" xfId="0">
      <alignment horizontal="right" vertical="center" wrapText="1"/>
    </xf>
    <xf numFmtId="0" fontId="5" fillId="0" borderId="4" applyAlignment="1" pivotButton="0" quotePrefix="0" xfId="0">
      <alignment horizontal="right" vertical="center" wrapText="1"/>
    </xf>
    <xf numFmtId="3" fontId="5" fillId="0" borderId="6" applyAlignment="1" pivotButton="0" quotePrefix="0" xfId="0">
      <alignment horizontal="right" vertical="center" wrapText="1"/>
    </xf>
    <xf numFmtId="166" fontId="6" fillId="0" borderId="4" applyAlignment="1" pivotButton="0" quotePrefix="0" xfId="0">
      <alignment horizontal="right" vertical="center" wrapText="1"/>
    </xf>
    <xf numFmtId="0" fontId="6" fillId="0" borderId="4" applyAlignment="1" pivotButton="0" quotePrefix="0" xfId="0">
      <alignment horizontal="right" vertical="center" wrapText="1"/>
    </xf>
    <xf numFmtId="3" fontId="6" fillId="0" borderId="6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" fillId="0" borderId="30" pivotButton="0" quotePrefix="0" xfId="0"/>
    <xf numFmtId="0" fontId="0" fillId="0" borderId="30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2"/>
  <sheetViews>
    <sheetView workbookViewId="0">
      <selection activeCell="A1" sqref="A1"/>
    </sheetView>
  </sheetViews>
  <sheetFormatPr baseColWidth="8" defaultRowHeight="15"/>
  <cols>
    <col width="4.44140625" customWidth="1" min="1" max="1"/>
    <col width="64.109375" customWidth="1" min="2" max="2"/>
    <col width="5.44140625" customWidth="1" min="3" max="3"/>
    <col width="11.88671875" customWidth="1" min="4" max="4"/>
    <col width="15.5546875" customWidth="1" min="5" max="5"/>
    <col width="16" customWidth="1" min="6" max="6"/>
    <col width="14.44140625" customWidth="1" min="7" max="7"/>
    <col width="8.44140625" customWidth="1" min="8" max="8"/>
    <col width="10" customWidth="1" min="9" max="9"/>
    <col width="11" customWidth="1" min="10" max="10"/>
    <col width="9.109375" customWidth="1" min="11" max="11"/>
    <col width="8.88671875" customWidth="1" min="12" max="12"/>
    <col width="11.33203125" customWidth="1" min="13" max="13"/>
    <col width="15" customWidth="1" min="14" max="14"/>
    <col width="16.44140625" customWidth="1" min="15" max="15"/>
    <col width="15.5546875" customWidth="1" min="16" max="16"/>
    <col width="19.5546875" customWidth="1" min="17" max="17"/>
  </cols>
  <sheetData>
    <row r="1" ht="69.75" customHeight="1"/>
    <row r="2" ht="15" customHeight="1">
      <c r="N2" s="1" t="inlineStr">
        <is>
          <t>Fecha presentación EP</t>
        </is>
      </c>
      <c r="O2" s="2" t="n"/>
      <c r="P2" s="2" t="n"/>
      <c r="Q2" s="3" t="n">
        <v>46288</v>
      </c>
    </row>
    <row r="3" ht="15" customHeight="1">
      <c r="N3" s="4" t="n"/>
      <c r="O3" s="5" t="n"/>
      <c r="P3" s="6" t="inlineStr">
        <is>
          <t>Rev.</t>
        </is>
      </c>
      <c r="Q3" s="7" t="n">
        <v>0</v>
      </c>
    </row>
    <row r="4" ht="25.5" customHeight="1">
      <c r="A4" s="8" t="inlineStr">
        <is>
          <t>SONDAJES EN CAUCE RÍO ITATA — OBRA 3000661 CONCESIÓN RUTA DEL ITATA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9" t="n"/>
    </row>
    <row r="5" ht="13.5" customHeight="1">
      <c r="A5" s="10" t="inlineStr">
        <is>
          <t>ESTADO DE PAGO N° 1, Rev-0</t>
        </is>
      </c>
      <c r="Q5" s="11" t="n"/>
    </row>
    <row r="6" ht="13.5" customHeight="1">
      <c r="A6" s="10" t="inlineStr">
        <is>
          <t>SOLUT INGENIERÍA SPA</t>
        </is>
      </c>
      <c r="Q6" s="11" t="n"/>
    </row>
    <row r="7" ht="13.5" customHeight="1">
      <c r="A7" s="10" t="inlineStr">
        <is>
          <t>Referencia: Contrato de Subcontrato N° 30803000661I000015  (10-07-2026)  —  Anexo 1 Mediciones y Precios</t>
        </is>
      </c>
      <c r="Q7" s="11" t="n"/>
    </row>
    <row r="8" ht="13.5" customHeight="1">
      <c r="A8" s="12" t="inlineStr">
        <is>
          <t>Contratista: Sacyr Asesorías y Diseño SpA (RUT 76.885.606-0)   —   Atención: Darwin Campos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4" t="n"/>
    </row>
    <row r="9" ht="6" customHeight="1"/>
    <row r="10" ht="24" customHeight="1">
      <c r="A10" s="15" t="n"/>
      <c r="B10" s="16" t="inlineStr">
        <is>
          <t>DESCRIPCIÓN</t>
        </is>
      </c>
      <c r="C10" s="17" t="inlineStr">
        <is>
          <t>UN</t>
        </is>
      </c>
      <c r="D10" s="17" t="inlineStr">
        <is>
          <t>CANTIDAD</t>
        </is>
      </c>
      <c r="E10" s="17" t="inlineStr">
        <is>
          <t>P.UNIT.</t>
        </is>
      </c>
      <c r="F10" s="17" t="inlineStr">
        <is>
          <t>TOTAL</t>
        </is>
      </c>
      <c r="G10" s="18" t="inlineStr">
        <is>
          <t>%</t>
        </is>
      </c>
      <c r="H10" s="18" t="inlineStr">
        <is>
          <t>CANTIDADES (a origen)</t>
        </is>
      </c>
      <c r="I10" s="19" t="n"/>
      <c r="J10" s="20" t="n"/>
      <c r="K10" s="18" t="inlineStr">
        <is>
          <t>PORCENTAJE DE AVANCE</t>
        </is>
      </c>
      <c r="L10" s="19" t="n"/>
      <c r="M10" s="20" t="n"/>
      <c r="N10" s="18" t="inlineStr">
        <is>
          <t>ESTADO DE PAGO ($)</t>
        </is>
      </c>
      <c r="O10" s="19" t="n"/>
      <c r="P10" s="20" t="n"/>
      <c r="Q10" s="21" t="inlineStr">
        <is>
          <t>TOTAL A PAGO
Presente EP ($)</t>
        </is>
      </c>
    </row>
    <row r="11" ht="21.75" customHeight="1">
      <c r="A11" s="22" t="n"/>
      <c r="B11" s="23" t="n"/>
      <c r="C11" s="23" t="n"/>
      <c r="D11" s="24" t="inlineStr">
        <is>
          <t>Según Contrato</t>
        </is>
      </c>
      <c r="E11" s="24" t="inlineStr">
        <is>
          <t>($)</t>
        </is>
      </c>
      <c r="F11" s="24" t="inlineStr">
        <is>
          <t>($)</t>
        </is>
      </c>
      <c r="G11" s="24" t="inlineStr">
        <is>
          <t>Sobre el Contrato</t>
        </is>
      </c>
      <c r="H11" s="24" t="inlineStr">
        <is>
          <t>Anterior</t>
        </is>
      </c>
      <c r="I11" s="24" t="inlineStr">
        <is>
          <t>Presente</t>
        </is>
      </c>
      <c r="J11" s="24" t="inlineStr">
        <is>
          <t>Acumulado</t>
        </is>
      </c>
      <c r="K11" s="24" t="inlineStr">
        <is>
          <t>Anterior</t>
        </is>
      </c>
      <c r="L11" s="24" t="inlineStr">
        <is>
          <t>Presente</t>
        </is>
      </c>
      <c r="M11" s="24" t="inlineStr">
        <is>
          <t>Acumulado</t>
        </is>
      </c>
      <c r="N11" s="24" t="inlineStr">
        <is>
          <t>Anterior</t>
        </is>
      </c>
      <c r="O11" s="24" t="inlineStr">
        <is>
          <t>Presente</t>
        </is>
      </c>
      <c r="P11" s="24" t="inlineStr">
        <is>
          <t>Acumulado</t>
        </is>
      </c>
      <c r="Q11" s="25" t="n"/>
    </row>
    <row r="12">
      <c r="A12" s="26" t="n">
        <v>1</v>
      </c>
      <c r="B12" s="27" t="inlineStr">
        <is>
          <t>SONDAJE EN CAUCE</t>
        </is>
      </c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9" t="n"/>
    </row>
    <row r="13" ht="24" customHeight="1">
      <c r="A13" s="30" t="n">
        <v>2</v>
      </c>
      <c r="B13" s="31" t="inlineStr">
        <is>
          <t>Instalación y movilización de balsa</t>
        </is>
      </c>
      <c r="C13" s="32" t="inlineStr">
        <is>
          <t>ud</t>
        </is>
      </c>
      <c r="D13" s="33" t="n">
        <v>2</v>
      </c>
      <c r="E13" s="34" t="n">
        <v>2750000</v>
      </c>
      <c r="F13" s="33">
        <f>D13*E13</f>
        <v/>
      </c>
      <c r="G13" s="35">
        <f>F13/$F$26</f>
        <v/>
      </c>
      <c r="H13" s="33" t="n">
        <v>0</v>
      </c>
      <c r="I13" s="36" t="n">
        <v>2</v>
      </c>
      <c r="J13" s="33">
        <f>H13+I13</f>
        <v/>
      </c>
      <c r="K13" s="35">
        <f>IF(D13=0,0,H13/D13)</f>
        <v/>
      </c>
      <c r="L13" s="35">
        <f>IF(D13=0,0,I13/D13)</f>
        <v/>
      </c>
      <c r="M13" s="35">
        <f>IF(D13=0,0,J13/D13)</f>
        <v/>
      </c>
      <c r="N13" s="33">
        <f>E13*H13</f>
        <v/>
      </c>
      <c r="O13" s="33">
        <f>E13*I13</f>
        <v/>
      </c>
      <c r="P13" s="33">
        <f>N13+O13</f>
        <v/>
      </c>
      <c r="Q13" s="37">
        <f>O13</f>
        <v/>
      </c>
    </row>
    <row r="14" ht="24" customHeight="1">
      <c r="A14" s="30" t="n">
        <v>3</v>
      </c>
      <c r="B14" s="31" t="inlineStr">
        <is>
          <t>Número de sondajes. Emplazamiento en cada punto (incluido)</t>
        </is>
      </c>
      <c r="C14" s="32" t="inlineStr">
        <is>
          <t>ud</t>
        </is>
      </c>
      <c r="D14" s="33" t="n">
        <v>2</v>
      </c>
      <c r="E14" s="34" t="n">
        <v>0</v>
      </c>
      <c r="F14" s="33">
        <f>D14*E14</f>
        <v/>
      </c>
      <c r="G14" s="35">
        <f>F14/$F$26</f>
        <v/>
      </c>
      <c r="H14" s="33" t="n">
        <v>0</v>
      </c>
      <c r="I14" s="36" t="n">
        <v>2</v>
      </c>
      <c r="J14" s="33">
        <f>H14+I14</f>
        <v/>
      </c>
      <c r="K14" s="35">
        <f>IF(D14=0,0,H14/D14)</f>
        <v/>
      </c>
      <c r="L14" s="35">
        <f>IF(D14=0,0,I14/D14)</f>
        <v/>
      </c>
      <c r="M14" s="35">
        <f>IF(D14=0,0,J14/D14)</f>
        <v/>
      </c>
      <c r="N14" s="33">
        <f>E14*H14</f>
        <v/>
      </c>
      <c r="O14" s="33">
        <f>E14*I14</f>
        <v/>
      </c>
      <c r="P14" s="33">
        <f>N14+O14</f>
        <v/>
      </c>
      <c r="Q14" s="37">
        <f>O14</f>
        <v/>
      </c>
    </row>
    <row r="15" ht="34" customHeight="1">
      <c r="A15" s="30" t="n">
        <v>4</v>
      </c>
      <c r="B15" s="31" t="inlineStr">
        <is>
          <t>Movilización y desmovilización campaña en río. Desplazamiento de equipos hasta la obra</t>
        </is>
      </c>
      <c r="C15" s="32" t="inlineStr">
        <is>
          <t>ud</t>
        </is>
      </c>
      <c r="D15" s="33" t="n">
        <v>1</v>
      </c>
      <c r="E15" s="34" t="n">
        <v>3120000</v>
      </c>
      <c r="F15" s="33">
        <f>D15*E15</f>
        <v/>
      </c>
      <c r="G15" s="35">
        <f>F15/$F$26</f>
        <v/>
      </c>
      <c r="H15" s="33" t="n">
        <v>0</v>
      </c>
      <c r="I15" s="36" t="n">
        <v>1</v>
      </c>
      <c r="J15" s="33">
        <f>H15+I15</f>
        <v/>
      </c>
      <c r="K15" s="35">
        <f>IF(D15=0,0,H15/D15)</f>
        <v/>
      </c>
      <c r="L15" s="35">
        <f>IF(D15=0,0,I15/D15)</f>
        <v/>
      </c>
      <c r="M15" s="35">
        <f>IF(D15=0,0,J15/D15)</f>
        <v/>
      </c>
      <c r="N15" s="33">
        <f>E15*H15</f>
        <v/>
      </c>
      <c r="O15" s="33">
        <f>E15*I15</f>
        <v/>
      </c>
      <c r="P15" s="33">
        <f>N15+O15</f>
        <v/>
      </c>
      <c r="Q15" s="37">
        <f>O15</f>
        <v/>
      </c>
    </row>
    <row r="16" ht="34" customHeight="1">
      <c r="A16" s="30" t="n">
        <v>5</v>
      </c>
      <c r="B16" s="31" t="inlineStr">
        <is>
          <t>Instalación de faena: Señalética, balizas, baños y agua para perforación (incluido)</t>
        </is>
      </c>
      <c r="C16" s="32" t="inlineStr">
        <is>
          <t>ud</t>
        </is>
      </c>
      <c r="D16" s="33" t="n">
        <v>2</v>
      </c>
      <c r="E16" s="34" t="n">
        <v>0</v>
      </c>
      <c r="F16" s="33">
        <f>D16*E16</f>
        <v/>
      </c>
      <c r="G16" s="35">
        <f>F16/$F$26</f>
        <v/>
      </c>
      <c r="H16" s="33" t="n">
        <v>0</v>
      </c>
      <c r="I16" s="36" t="n">
        <v>2</v>
      </c>
      <c r="J16" s="33">
        <f>H16+I16</f>
        <v/>
      </c>
      <c r="K16" s="35">
        <f>IF(D16=0,0,H16/D16)</f>
        <v/>
      </c>
      <c r="L16" s="35">
        <f>IF(D16=0,0,I16/D16)</f>
        <v/>
      </c>
      <c r="M16" s="35">
        <f>IF(D16=0,0,J16/D16)</f>
        <v/>
      </c>
      <c r="N16" s="33">
        <f>E16*H16</f>
        <v/>
      </c>
      <c r="O16" s="33">
        <f>E16*I16</f>
        <v/>
      </c>
      <c r="P16" s="33">
        <f>N16+O16</f>
        <v/>
      </c>
      <c r="Q16" s="37">
        <f>O16</f>
        <v/>
      </c>
    </row>
    <row r="17" ht="24" customHeight="1">
      <c r="A17" s="30" t="n">
        <v>6</v>
      </c>
      <c r="B17" s="31" t="inlineStr">
        <is>
          <t>Vigilancia de equipos (incluido)</t>
        </is>
      </c>
      <c r="C17" s="32" t="inlineStr">
        <is>
          <t>ud</t>
        </is>
      </c>
      <c r="D17" s="33" t="n">
        <v>2</v>
      </c>
      <c r="E17" s="34" t="n">
        <v>0</v>
      </c>
      <c r="F17" s="33">
        <f>D17*E17</f>
        <v/>
      </c>
      <c r="G17" s="35">
        <f>F17/$F$26</f>
        <v/>
      </c>
      <c r="H17" s="33" t="n">
        <v>0</v>
      </c>
      <c r="I17" s="36" t="n">
        <v>2</v>
      </c>
      <c r="J17" s="33">
        <f>H17+I17</f>
        <v/>
      </c>
      <c r="K17" s="35">
        <f>IF(D17=0,0,H17/D17)</f>
        <v/>
      </c>
      <c r="L17" s="35">
        <f>IF(D17=0,0,I17/D17)</f>
        <v/>
      </c>
      <c r="M17" s="35">
        <f>IF(D17=0,0,J17/D17)</f>
        <v/>
      </c>
      <c r="N17" s="33">
        <f>E17*H17</f>
        <v/>
      </c>
      <c r="O17" s="33">
        <f>E17*I17</f>
        <v/>
      </c>
      <c r="P17" s="33">
        <f>N17+O17</f>
        <v/>
      </c>
      <c r="Q17" s="37">
        <f>O17</f>
        <v/>
      </c>
    </row>
    <row r="18" ht="24" customHeight="1">
      <c r="A18" s="30" t="n">
        <v>7</v>
      </c>
      <c r="B18" s="31" t="inlineStr">
        <is>
          <t>Suministro de agua a pie de sondeo (incluido)</t>
        </is>
      </c>
      <c r="C18" s="32" t="inlineStr">
        <is>
          <t>ud</t>
        </is>
      </c>
      <c r="D18" s="33" t="n">
        <v>2</v>
      </c>
      <c r="E18" s="34" t="n">
        <v>0</v>
      </c>
      <c r="F18" s="33">
        <f>D18*E18</f>
        <v/>
      </c>
      <c r="G18" s="35">
        <f>F18/$F$26</f>
        <v/>
      </c>
      <c r="H18" s="33" t="n">
        <v>0</v>
      </c>
      <c r="I18" s="36" t="n">
        <v>2</v>
      </c>
      <c r="J18" s="33">
        <f>H18+I18</f>
        <v/>
      </c>
      <c r="K18" s="35">
        <f>IF(D18=0,0,H18/D18)</f>
        <v/>
      </c>
      <c r="L18" s="35">
        <f>IF(D18=0,0,I18/D18)</f>
        <v/>
      </c>
      <c r="M18" s="35">
        <f>IF(D18=0,0,J18/D18)</f>
        <v/>
      </c>
      <c r="N18" s="33">
        <f>E18*H18</f>
        <v/>
      </c>
      <c r="O18" s="33">
        <f>E18*I18</f>
        <v/>
      </c>
      <c r="P18" s="33">
        <f>N18+O18</f>
        <v/>
      </c>
      <c r="Q18" s="37">
        <f>O18</f>
        <v/>
      </c>
    </row>
    <row r="19" ht="24" customHeight="1">
      <c r="A19" s="30" t="n">
        <v>8</v>
      </c>
      <c r="B19" s="31" t="inlineStr">
        <is>
          <t>[m] de sondaje perforado en río (considerar balsa)</t>
        </is>
      </c>
      <c r="C19" s="32" t="inlineStr">
        <is>
          <t>m</t>
        </is>
      </c>
      <c r="D19" s="33" t="n">
        <v>70</v>
      </c>
      <c r="E19" s="34" t="n">
        <v>327250</v>
      </c>
      <c r="F19" s="33">
        <f>D19*E19</f>
        <v/>
      </c>
      <c r="G19" s="35">
        <f>F19/$F$26</f>
        <v/>
      </c>
      <c r="H19" s="33" t="n">
        <v>0</v>
      </c>
      <c r="I19" s="36" t="n">
        <v>70</v>
      </c>
      <c r="J19" s="33">
        <f>H19+I19</f>
        <v/>
      </c>
      <c r="K19" s="35">
        <f>IF(D19=0,0,H19/D19)</f>
        <v/>
      </c>
      <c r="L19" s="35">
        <f>IF(D19=0,0,I19/D19)</f>
        <v/>
      </c>
      <c r="M19" s="35">
        <f>IF(D19=0,0,J19/D19)</f>
        <v/>
      </c>
      <c r="N19" s="33">
        <f>E19*H19</f>
        <v/>
      </c>
      <c r="O19" s="33">
        <f>E19*I19</f>
        <v/>
      </c>
      <c r="P19" s="33">
        <f>N19+O19</f>
        <v/>
      </c>
      <c r="Q19" s="37">
        <f>O19</f>
        <v/>
      </c>
    </row>
    <row r="20" ht="24" customHeight="1">
      <c r="A20" s="30" t="n">
        <v>9</v>
      </c>
      <c r="B20" s="31" t="inlineStr">
        <is>
          <t>Cajas portatestigos (incluido)</t>
        </is>
      </c>
      <c r="C20" s="32" t="inlineStr">
        <is>
          <t>Vg</t>
        </is>
      </c>
      <c r="D20" s="33" t="n">
        <v>1</v>
      </c>
      <c r="E20" s="34" t="n">
        <v>0</v>
      </c>
      <c r="F20" s="33">
        <f>D20*E20</f>
        <v/>
      </c>
      <c r="G20" s="35">
        <f>F20/$F$26</f>
        <v/>
      </c>
      <c r="H20" s="33" t="n">
        <v>0</v>
      </c>
      <c r="I20" s="36" t="n">
        <v>1</v>
      </c>
      <c r="J20" s="33">
        <f>H20+I20</f>
        <v/>
      </c>
      <c r="K20" s="35">
        <f>IF(D20=0,0,H20/D20)</f>
        <v/>
      </c>
      <c r="L20" s="35">
        <f>IF(D20=0,0,I20/D20)</f>
        <v/>
      </c>
      <c r="M20" s="35">
        <f>IF(D20=0,0,J20/D20)</f>
        <v/>
      </c>
      <c r="N20" s="33">
        <f>E20*H20</f>
        <v/>
      </c>
      <c r="O20" s="33">
        <f>E20*I20</f>
        <v/>
      </c>
      <c r="P20" s="33">
        <f>N20+O20</f>
        <v/>
      </c>
      <c r="Q20" s="37">
        <f>O20</f>
        <v/>
      </c>
    </row>
    <row r="21">
      <c r="A21" s="26" t="n">
        <v>10</v>
      </c>
      <c r="B21" s="27" t="inlineStr">
        <is>
          <t>ENSAYES LABORATORIO  (no se cobran en el presente EP)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9" t="n"/>
    </row>
    <row r="22" ht="24" customHeight="1">
      <c r="A22" s="30" t="n">
        <v>11</v>
      </c>
      <c r="B22" s="31" t="inlineStr">
        <is>
          <t>Clasificación completa: USCS - AASHTO</t>
        </is>
      </c>
      <c r="C22" s="32" t="inlineStr">
        <is>
          <t>ud</t>
        </is>
      </c>
      <c r="D22" s="38" t="n">
        <v>45.4</v>
      </c>
      <c r="E22" s="34" t="n">
        <v>150000</v>
      </c>
      <c r="F22" s="33">
        <f>D22*E22</f>
        <v/>
      </c>
      <c r="G22" s="35">
        <f>F22/$F$26</f>
        <v/>
      </c>
      <c r="H22" s="33" t="n">
        <v>0</v>
      </c>
      <c r="I22" s="39" t="n">
        <v>0</v>
      </c>
      <c r="J22" s="38">
        <f>H22+I22</f>
        <v/>
      </c>
      <c r="K22" s="35">
        <f>IF(D22=0,0,H22/D22)</f>
        <v/>
      </c>
      <c r="L22" s="35">
        <f>IF(D22=0,0,I22/D22)</f>
        <v/>
      </c>
      <c r="M22" s="35">
        <f>IF(D22=0,0,J22/D22)</f>
        <v/>
      </c>
      <c r="N22" s="33">
        <f>E22*H22</f>
        <v/>
      </c>
      <c r="O22" s="33">
        <f>E22*I22</f>
        <v/>
      </c>
      <c r="P22" s="33">
        <f>N22+O22</f>
        <v/>
      </c>
      <c r="Q22" s="37">
        <f>O22</f>
        <v/>
      </c>
    </row>
    <row r="23" ht="24" customHeight="1">
      <c r="A23" s="30" t="n">
        <v>12</v>
      </c>
      <c r="B23" s="31" t="inlineStr">
        <is>
          <t>Ensayo corte directo (ASTM S3080/D3080M-11)</t>
        </is>
      </c>
      <c r="C23" s="32" t="inlineStr">
        <is>
          <t>ud</t>
        </is>
      </c>
      <c r="D23" s="33" t="n">
        <v>2</v>
      </c>
      <c r="E23" s="34" t="n">
        <v>350000</v>
      </c>
      <c r="F23" s="33">
        <f>D23*E23</f>
        <v/>
      </c>
      <c r="G23" s="35">
        <f>F23/$F$26</f>
        <v/>
      </c>
      <c r="H23" s="33" t="n">
        <v>0</v>
      </c>
      <c r="I23" s="36" t="n">
        <v>0</v>
      </c>
      <c r="J23" s="33">
        <f>H23+I23</f>
        <v/>
      </c>
      <c r="K23" s="35">
        <f>IF(D23=0,0,H23/D23)</f>
        <v/>
      </c>
      <c r="L23" s="35">
        <f>IF(D23=0,0,I23/D23)</f>
        <v/>
      </c>
      <c r="M23" s="35">
        <f>IF(D23=0,0,J23/D23)</f>
        <v/>
      </c>
      <c r="N23" s="33">
        <f>E23*H23</f>
        <v/>
      </c>
      <c r="O23" s="33">
        <f>E23*I23</f>
        <v/>
      </c>
      <c r="P23" s="33">
        <f>N23+O23</f>
        <v/>
      </c>
      <c r="Q23" s="37">
        <f>O23</f>
        <v/>
      </c>
    </row>
    <row r="24" ht="24" customHeight="1">
      <c r="A24" s="30" t="n">
        <v>13</v>
      </c>
      <c r="B24" s="31" t="inlineStr">
        <is>
          <t>Ensayo triaxial (ASTM D7181-11) (1 PROBETA)</t>
        </is>
      </c>
      <c r="C24" s="32" t="inlineStr">
        <is>
          <t>ud</t>
        </is>
      </c>
      <c r="D24" s="33" t="n">
        <v>2</v>
      </c>
      <c r="E24" s="34" t="n">
        <v>1100000</v>
      </c>
      <c r="F24" s="33">
        <f>D24*E24</f>
        <v/>
      </c>
      <c r="G24" s="35">
        <f>F24/$F$26</f>
        <v/>
      </c>
      <c r="H24" s="33" t="n">
        <v>0</v>
      </c>
      <c r="I24" s="36" t="n">
        <v>0</v>
      </c>
      <c r="J24" s="33">
        <f>H24+I24</f>
        <v/>
      </c>
      <c r="K24" s="35">
        <f>IF(D24=0,0,H24/D24)</f>
        <v/>
      </c>
      <c r="L24" s="35">
        <f>IF(D24=0,0,I24/D24)</f>
        <v/>
      </c>
      <c r="M24" s="35">
        <f>IF(D24=0,0,J24/D24)</f>
        <v/>
      </c>
      <c r="N24" s="33">
        <f>E24*H24</f>
        <v/>
      </c>
      <c r="O24" s="33">
        <f>E24*I24</f>
        <v/>
      </c>
      <c r="P24" s="33">
        <f>N24+O24</f>
        <v/>
      </c>
      <c r="Q24" s="37">
        <f>O24</f>
        <v/>
      </c>
    </row>
    <row r="25" ht="6" customHeight="1"/>
    <row r="26" ht="15" customHeight="1">
      <c r="B26" s="40" t="inlineStr">
        <is>
          <t>TOTAL CONTRATO (Anexo 1)</t>
        </is>
      </c>
      <c r="E26" s="41" t="inlineStr">
        <is>
          <t>Total $</t>
        </is>
      </c>
      <c r="F26" s="42">
        <f>SUM(F13:F24)</f>
        <v/>
      </c>
      <c r="G26" s="43" t="n">
        <v>1</v>
      </c>
      <c r="N26" s="44">
        <f>SUM(N13:N24)</f>
        <v/>
      </c>
      <c r="O26" s="42">
        <f>SUM(O13:O24)</f>
        <v/>
      </c>
      <c r="P26" s="42">
        <f>SUM(P13:P24)</f>
        <v/>
      </c>
      <c r="Q26" s="45">
        <f>SUM(Q13:Q24)</f>
        <v/>
      </c>
    </row>
    <row r="27" ht="19.35" customHeight="1">
      <c r="I27" s="46" t="inlineStr">
        <is>
          <t>AVANCE ECONÓMICO ACUM.</t>
        </is>
      </c>
      <c r="J27" s="47" t="n"/>
      <c r="K27" s="43">
        <f>P26/F26</f>
        <v/>
      </c>
      <c r="L27" s="47" t="n"/>
      <c r="M27" s="48" t="n"/>
      <c r="N27" s="49" t="n"/>
      <c r="O27" s="50" t="inlineStr">
        <is>
          <t>SUBTOTAL NETO</t>
        </is>
      </c>
      <c r="P27" s="2" t="n"/>
      <c r="Q27" s="51">
        <f>Q26</f>
        <v/>
      </c>
    </row>
    <row r="28" ht="15" customHeight="1">
      <c r="N28" s="52" t="inlineStr">
        <is>
          <t>19% de IVA ($)</t>
        </is>
      </c>
      <c r="O28" s="2" t="n"/>
      <c r="P28" s="2" t="n"/>
      <c r="Q28" s="53">
        <f>ROUND(Q27*0.19,0)</f>
        <v/>
      </c>
    </row>
    <row r="29" ht="15" customHeight="1">
      <c r="N29" s="54" t="inlineStr">
        <is>
          <t>TOTAL A FACTURAR ($)</t>
        </is>
      </c>
      <c r="O29" s="13" t="n"/>
      <c r="P29" s="13" t="n"/>
      <c r="Q29" s="55">
        <f>Q27+Q28</f>
        <v/>
      </c>
    </row>
    <row r="30" ht="15" customHeight="1">
      <c r="N30" s="56" t="n">
        <v>0.05</v>
      </c>
      <c r="O30" s="57" t="inlineStr">
        <is>
          <t>RETENCIÓN GARANTÍA (s/neto)</t>
        </is>
      </c>
      <c r="P30" s="13" t="n"/>
      <c r="Q30" s="58">
        <f>-ROUND(Q27*N30,0)</f>
        <v/>
      </c>
    </row>
    <row r="31" ht="15" customHeight="1">
      <c r="N31" s="54" t="inlineStr">
        <is>
          <t>LÍQUIDO A PAGAR ($)</t>
        </is>
      </c>
      <c r="O31" s="13" t="n"/>
      <c r="P31" s="13" t="n"/>
      <c r="Q31" s="55">
        <f>Q29+Q30</f>
        <v/>
      </c>
    </row>
    <row r="33">
      <c r="B33" s="40" t="inlineStr">
        <is>
          <t>CONDICIONES (según Contrato N° 30803000661I000015):</t>
        </is>
      </c>
    </row>
    <row r="34" ht="12" customHeight="1">
      <c r="B34" s="59" t="inlineStr">
        <is>
          <t>•  EP relacionado a origen (cláusula 5.3): columnas Anterior / Presente / Acumulado. EP N°1: acumulado anterior = 0.</t>
        </is>
      </c>
    </row>
    <row r="35" ht="12" customHeight="1">
      <c r="B35" s="59" t="inlineStr">
        <is>
          <t>•  Cobra el 100% de las partidas de sondaje en cauce ejecutadas (ítems 2 al 9 del Anexo 1), respaldadas con informe de sondaje y registro de metros perforados. Ensayes de laboratorio (ítems 11 al 13) no se cobran en este EP.</t>
        </is>
      </c>
    </row>
    <row r="36" ht="12" customHeight="1">
      <c r="B36" s="59" t="inlineStr">
        <is>
          <t>•  Solo incluye partidas del Anexo N°1 del Contrato, a precios fijos del mismo. No incluye materiales en acopio.</t>
        </is>
      </c>
    </row>
    <row r="37" ht="12" customHeight="1">
      <c r="B37" s="59" t="inlineStr">
        <is>
          <t>•  Aprobación del Contratista en máx. 15 días desde su presentación. Aprobado el EP, se emite una única factura, a más tardar el día 10 del mes (o hábil siguiente).</t>
        </is>
      </c>
    </row>
    <row r="38" ht="12" customHeight="1">
      <c r="B38" s="59" t="inlineStr">
        <is>
          <t>•  La factura debe indicar el N° de contrato 30803000661I000015 en referencia y glosa; enviar a terceros-76885606@dte.iconstruye.com. Pago a 30 días. IVA desglosado.</t>
        </is>
      </c>
    </row>
    <row r="39" ht="12" customHeight="1">
      <c r="B39" s="59" t="inlineStr">
        <is>
          <t>•  Retención 5% por garantía (cláusula 9), devolutiva a los 3 meses de la firma del Finiquito. Valores en CLP.</t>
        </is>
      </c>
    </row>
    <row r="40" ht="12" customHeight="1">
      <c r="B40" s="60" t="inlineStr">
        <is>
          <t>DOCUMENTOS QUE ACOMPAÑAN LA FACTURA (cláusula 5, N°5):</t>
        </is>
      </c>
    </row>
    <row r="41" ht="12" customHeight="1">
      <c r="B41" s="59" t="inlineStr">
        <is>
          <t xml:space="preserve">   5.1 EP aprobado y firmado por Sacyr  ·  5.2 Comprobante pago IVA (F29) del mes anterior  ·  5.3 Certificado F30-1 de la Inspección del Trabajo</t>
        </is>
      </c>
    </row>
    <row r="42" ht="12" customHeight="1">
      <c r="B42" s="59" t="inlineStr">
        <is>
          <t xml:space="preserve">   5.4 Nómina de trabajadores, contratos, liquidaciones, planillas de cotizaciones pagadas y finiquitos (si aplica)</t>
        </is>
      </c>
    </row>
    <row r="43" ht="12" customHeight="1">
      <c r="B43" s="59" t="inlineStr">
        <is>
          <t xml:space="preserve">   5.5 Declaración jurada simple de pago a subcontratistas y proveedores (con listado)  ·  5.6 Factura  ·  5.7 Copia firmada del Contrato</t>
        </is>
      </c>
    </row>
    <row r="47">
      <c r="C47" s="61" t="n"/>
      <c r="D47" s="62" t="n"/>
      <c r="E47" s="62" t="n"/>
      <c r="F47" s="62" t="n"/>
      <c r="G47" s="62" t="n"/>
      <c r="L47" s="61" t="n"/>
      <c r="M47" s="62" t="n"/>
      <c r="N47" s="62" t="n"/>
      <c r="O47" s="62" t="n"/>
      <c r="P47" s="62" t="n"/>
      <c r="Q47" s="62" t="n"/>
    </row>
    <row r="48" ht="15" customHeight="1">
      <c r="C48" s="63" t="inlineStr">
        <is>
          <t>Representante Contratista</t>
        </is>
      </c>
      <c r="L48" s="63" t="inlineStr">
        <is>
          <t>p. SOLUT Ingeniería SpA</t>
        </is>
      </c>
    </row>
    <row r="49" ht="15" customHeight="1">
      <c r="C49" s="64" t="inlineStr">
        <is>
          <t>Sacyr Asesorías y Diseño SpA</t>
        </is>
      </c>
      <c r="L49" s="64" t="inlineStr">
        <is>
          <t>Felipe Matamala Andrades — Ingeniero Civil</t>
        </is>
      </c>
    </row>
    <row r="50" ht="15" customHeight="1">
      <c r="L50" s="64" t="inlineStr">
        <is>
          <t>RUT: 77.625.106-2</t>
        </is>
      </c>
    </row>
    <row r="52" ht="15" customHeight="1">
      <c r="A52" s="65" t="inlineStr">
        <is>
          <t>Maipu 1623 – Concepción – Fonos: +56 9 3006 2244 – fmatamala@solut.cl – www.solut.cl</t>
        </is>
      </c>
    </row>
  </sheetData>
  <mergeCells count="27">
    <mergeCell ref="C49:G49"/>
    <mergeCell ref="N2:P2"/>
    <mergeCell ref="I27:J27"/>
    <mergeCell ref="C10:C11"/>
    <mergeCell ref="N29:P29"/>
    <mergeCell ref="A6:Q6"/>
    <mergeCell ref="Q10:Q11"/>
    <mergeCell ref="O30:P30"/>
    <mergeCell ref="N10:P10"/>
    <mergeCell ref="K27:M27"/>
    <mergeCell ref="N28:P28"/>
    <mergeCell ref="C47:G47"/>
    <mergeCell ref="A7:Q7"/>
    <mergeCell ref="L50:Q50"/>
    <mergeCell ref="N31:P31"/>
    <mergeCell ref="B10:B11"/>
    <mergeCell ref="K10:M10"/>
    <mergeCell ref="L49:Q49"/>
    <mergeCell ref="O27:P27"/>
    <mergeCell ref="L48:Q48"/>
    <mergeCell ref="A5:Q5"/>
    <mergeCell ref="C48:G48"/>
    <mergeCell ref="A8:Q8"/>
    <mergeCell ref="H10:J10"/>
    <mergeCell ref="A4:Q4"/>
    <mergeCell ref="A52:Q52"/>
    <mergeCell ref="L47:Q47"/>
  </mergeCells>
  <printOptions horizontalCentered="1"/>
  <pageMargins left="0.4" right="0.4" top="0.5" bottom="0.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2026-09-23T17:17:28Z</dcterms:created>
  <dcterms:modified xsi:type="dcterms:W3CDTF">2026-09-23T17:17:28Z</dcterms:modified>
</cp:coreProperties>
</file>